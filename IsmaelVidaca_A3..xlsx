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40102c2749498c9/Documents/"/>
    </mc:Choice>
  </mc:AlternateContent>
  <xr:revisionPtr revIDLastSave="0" documentId="8_{7E7F1234-F824-42E9-869E-CBF3A571EB34}" xr6:coauthVersionLast="47" xr6:coauthVersionMax="47" xr10:uidLastSave="{00000000-0000-0000-0000-000000000000}"/>
  <bookViews>
    <workbookView xWindow="-108" yWindow="-108" windowWidth="23256" windowHeight="13896" tabRatio="500" activeTab="1" xr2:uid="{00000000-000D-0000-FFFF-FFFF00000000}"/>
  </bookViews>
  <sheets>
    <sheet name=" Ejercicio 1 – Regresión Lineal" sheetId="1" r:id="rId1"/>
    <sheet name="Ejercicio 2 – Correlación y Reg"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2" l="1"/>
  <c r="C22" i="2"/>
  <c r="C25" i="2" s="1"/>
  <c r="C21" i="2"/>
  <c r="C20" i="2"/>
  <c r="B17" i="2"/>
  <c r="C16" i="2"/>
  <c r="B16" i="2"/>
  <c r="F15" i="2"/>
  <c r="E15" i="2"/>
  <c r="D15" i="2"/>
  <c r="F14" i="2"/>
  <c r="E14" i="2"/>
  <c r="D14" i="2"/>
  <c r="F13" i="2"/>
  <c r="E13" i="2"/>
  <c r="D13" i="2"/>
  <c r="F12" i="2"/>
  <c r="E12" i="2"/>
  <c r="D12" i="2"/>
  <c r="F11" i="2"/>
  <c r="E11" i="2"/>
  <c r="D11" i="2"/>
  <c r="F10" i="2"/>
  <c r="E10" i="2"/>
  <c r="D10" i="2"/>
  <c r="F9" i="2"/>
  <c r="E9" i="2"/>
  <c r="D9" i="2"/>
  <c r="F8" i="2"/>
  <c r="E8" i="2"/>
  <c r="D8" i="2"/>
  <c r="F7" i="2"/>
  <c r="E7" i="2"/>
  <c r="D7" i="2"/>
  <c r="F6" i="2"/>
  <c r="E6" i="2"/>
  <c r="D6" i="2"/>
  <c r="D16" i="2" s="1"/>
  <c r="F5" i="2"/>
  <c r="E5" i="2"/>
  <c r="D5" i="2"/>
  <c r="F4" i="2"/>
  <c r="F16" i="2" s="1"/>
  <c r="E4" i="2"/>
  <c r="E16" i="2" s="1"/>
  <c r="D4" i="2"/>
  <c r="F55" i="1" a="1"/>
  <c r="G57" i="1" s="1"/>
  <c r="C22" i="1" s="1"/>
  <c r="C23" i="1"/>
  <c r="F58" i="1" l="1"/>
  <c r="E27" i="1" s="1"/>
  <c r="F59" i="1"/>
  <c r="C27" i="1" s="1"/>
  <c r="G59" i="1"/>
  <c r="C28" i="1" s="1"/>
  <c r="H55" i="1"/>
  <c r="C33" i="1" s="1"/>
  <c r="H59" i="1"/>
  <c r="G55" i="1"/>
  <c r="C34" i="1" s="1"/>
  <c r="F56" i="1"/>
  <c r="D35" i="1" s="1"/>
  <c r="G58" i="1"/>
  <c r="B28" i="1" s="1"/>
  <c r="B29" i="1" s="1"/>
  <c r="G56" i="1"/>
  <c r="D34" i="1" s="1"/>
  <c r="H57" i="1"/>
  <c r="F55" i="1"/>
  <c r="C35" i="1" s="1"/>
  <c r="E35" i="1" s="1"/>
  <c r="F35" i="1" s="1"/>
  <c r="H58" i="1"/>
  <c r="H56" i="1"/>
  <c r="D33" i="1" s="1"/>
  <c r="F57" i="1"/>
  <c r="E34" i="1" l="1"/>
  <c r="F34" i="1" s="1"/>
  <c r="C37" i="1"/>
  <c r="E33" i="1"/>
  <c r="F33" i="1" s="1"/>
  <c r="D28" i="1"/>
  <c r="C21" i="1"/>
  <c r="C19" i="1"/>
  <c r="C20" i="1"/>
  <c r="C29" i="1"/>
  <c r="D27" i="1"/>
  <c r="F27" i="1"/>
</calcChain>
</file>

<file path=xl/sharedStrings.xml><?xml version="1.0" encoding="utf-8"?>
<sst xmlns="http://schemas.openxmlformats.org/spreadsheetml/2006/main" count="62" uniqueCount="58">
  <si>
    <t>Ejercicio 1 - Regresión Lineal Múltiple</t>
  </si>
  <si>
    <t>Situación: una empresa desea conocer si existe relación entre la cantidad de quejas y el número de personal total y asesores activos en sus sucursales.</t>
  </si>
  <si>
    <t>Sucursal</t>
  </si>
  <si>
    <t>Quejas (y)</t>
  </si>
  <si>
    <t>Personal total (x1)</t>
  </si>
  <si>
    <t>Asesores activos (x2)</t>
  </si>
  <si>
    <t>México</t>
  </si>
  <si>
    <t>Hidalgo</t>
  </si>
  <si>
    <t>Mérida</t>
  </si>
  <si>
    <t>Valladolid</t>
  </si>
  <si>
    <t>Veracruz</t>
  </si>
  <si>
    <t>Mazatlán</t>
  </si>
  <si>
    <t>Guadalajara</t>
  </si>
  <si>
    <t>Campeche</t>
  </si>
  <si>
    <t>Monterrey</t>
  </si>
  <si>
    <t>Chiapas</t>
  </si>
  <si>
    <t>Análisis de Regresión Lineal Múltiple</t>
  </si>
  <si>
    <t>Estadísticas de la regresión</t>
  </si>
  <si>
    <t>Coeficiente de correlación múltiple (R)</t>
  </si>
  <si>
    <t>Coeficiente de determinación R²</t>
  </si>
  <si>
    <t>R² ajustado</t>
  </si>
  <si>
    <t>Error típico</t>
  </si>
  <si>
    <t>Observaciones (n)</t>
  </si>
  <si>
    <t>ANOVA</t>
  </si>
  <si>
    <t>df</t>
  </si>
  <si>
    <t>Suma de cuadrados (SC)</t>
  </si>
  <si>
    <t>Cuadrado medio (MC)</t>
  </si>
  <si>
    <t>F</t>
  </si>
  <si>
    <t>Valor crítico de F</t>
  </si>
  <si>
    <t>Regresión</t>
  </si>
  <si>
    <t>Residuos</t>
  </si>
  <si>
    <t>Total</t>
  </si>
  <si>
    <t>Coeficientes</t>
  </si>
  <si>
    <t>Estadístico t</t>
  </si>
  <si>
    <t>Probabilidad</t>
  </si>
  <si>
    <t>Intercepción</t>
  </si>
  <si>
    <t>Ecuación de regresión:</t>
  </si>
  <si>
    <t>Interpretación de los resultados</t>
  </si>
  <si>
    <t>Ejercicio 2 - Correlación y Regresión Simple</t>
  </si>
  <si>
    <t>Situación: se busca analizar la relación entre los gastos de una empresa y sus ventas mensuales.</t>
  </si>
  <si>
    <t>Mes</t>
  </si>
  <si>
    <t>Gastos (x)</t>
  </si>
  <si>
    <t>Ventas (y)</t>
  </si>
  <si>
    <t>x²</t>
  </si>
  <si>
    <t>y²</t>
  </si>
  <si>
    <t>x*y</t>
  </si>
  <si>
    <t>Suma</t>
  </si>
  <si>
    <t>n</t>
  </si>
  <si>
    <t>Estadísticas de correlación y regresión</t>
  </si>
  <si>
    <t>Coeficiente de correlación (r)</t>
  </si>
  <si>
    <t>Coeficiente de determinación (r²)</t>
  </si>
  <si>
    <t>Pendiente (m)</t>
  </si>
  <si>
    <t>Intersección (b)</t>
  </si>
  <si>
    <t>Ecuación de la recta:</t>
  </si>
  <si>
    <t>Conclusión</t>
  </si>
  <si>
    <t>El análisis de correlación y regresión simple entre los gastos mensuales y las ventas de la empresa muestra un coeficiente de correlación de aproximadamente r = 0.42, lo que indica una relación positiva pero moderada-débil entre ambas variables. El coeficiente de determinación (r² ≈ 0.175) señala que solo cerca del 17.5% de la variación en las ventas mensuales puede explicarse a partir de los gastos realizados, mientras que el 82.5% restante depende de otros factores no incluidos en el modelo (por ejemplo, estacionalidad, campañas de marketing, condiciones del mercado o comportamiento de la competencia). La pendiente positiva (m ≈ 5.07) sugiere que, en promedio, por cada peso adicional invertido en gastos, las ventas tienden a incrementarse ligeramente, aunque la relación no es lo suficientemente fuerte como para predecir las ventas con precisión usando únicamente los gastos. Para la toma de decisiones, esto implica que aumentar el gasto por sí solo no garantiza un incremento proporcional en las ventas; la empresa debería complementar este análisis con otras variables (como inversión en publicidad, número de clientes atendidos o precios) para construir un modelo predictivo más robusto y así asignar su presupuesto de forma más eficiente y con menor riesgo financiero.</t>
  </si>
  <si>
    <t xml:space="preserve">Salida auxiliar LINEST </t>
  </si>
  <si>
    <t>El coeficiente de determinación (R²) obtenido es muy bajo (aproximadamente 0.035), lo que significa que el modelo de regresión múltiple con Personal total y Asesores activos explica solo cerca del 3.5% de la variación en el número de quejas registradas por sucursal. En otras palabras, estas dos variables prácticamente no son buenas predictoras de las quejas. El coeficiente de Personal total (x1) es positivo (~5.39), sugiriendo una leve tendencia a mayores quejas cuando aumenta el personal, mientras que el coeficiente de Asesores activos (x2) es cercano a cero (~0.12), indicando prácticamente ninguna relación lineal con las quejas. Dado el bajo poder explicativo del modelo (R² ajustado incluso negativo), la empresa debería buscar otras variables (por ejemplo, tiempo de respuesta, capacitación del personal, volumen de clientes atendidos o tipo de sucursal) que puedan explicar mejor la variabilidad de las quejas, en lugar de basar decisiones únicamente en la plantilla de personal. o asesores.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</si>
</sst>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name val="Calibri"/>
    </font>
    <font>
      <b/>
      <sz val="14"/>
      <color rgb="FFFFFFFF"/>
      <name val="Arial"/>
      <charset val="1"/>
    </font>
    <font>
      <i/>
      <sz val="10"/>
      <name val="Arial"/>
      <charset val="1"/>
    </font>
    <font>
      <b/>
      <sz val="11"/>
      <name val="Arial"/>
      <charset val="1"/>
    </font>
    <font>
      <sz val="11"/>
      <name val="Arial"/>
      <charset val="1"/>
    </font>
    <font>
      <b/>
      <sz val="13"/>
      <name val="Arial"/>
      <charset val="1"/>
    </font>
    <font>
      <sz val="10"/>
      <name val="Arial"/>
      <charset val="1"/>
    </font>
    <font>
      <sz val="11"/>
      <color rgb="FF000000"/>
      <name val="Calibri"/>
      <charset val="1"/>
    </font>
    <font>
      <b/>
      <sz val="10"/>
      <name val="Arial"/>
      <charset val="1"/>
    </font>
    <font>
      <i/>
      <sz val="9"/>
      <color rgb="FF808080"/>
      <name val="Arial"/>
      <charset val="1"/>
    </font>
    <font>
      <sz val="9"/>
      <color rgb="FF808080"/>
      <name val="Arial"/>
      <charset val="1"/>
    </font>
  </fonts>
  <fills count="6">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rgb="FFBDD7EE"/>
        <bgColor rgb="FFD9D9D9"/>
      </patternFill>
    </fill>
    <fill>
      <patternFill patternType="solid">
        <fgColor rgb="FFFFC000"/>
        <bgColor indexed="64"/>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alignment vertical="center"/>
    </xf>
  </cellStyleXfs>
  <cellXfs count="22">
    <xf numFmtId="0" fontId="0" fillId="0" borderId="0" xfId="0">
      <alignment vertical="center"/>
    </xf>
    <xf numFmtId="0" fontId="3" fillId="3" borderId="1" xfId="0" applyFont="1" applyFill="1" applyBorder="1" applyAlignment="1">
      <alignment horizontal="center" vertical="center" wrapText="1"/>
    </xf>
    <xf numFmtId="0" fontId="4" fillId="0" borderId="1" xfId="0" applyFont="1" applyBorder="1" applyAlignment="1">
      <alignment horizontal="left"/>
    </xf>
    <xf numFmtId="0" fontId="4" fillId="0" borderId="1" xfId="0" applyFont="1" applyBorder="1" applyAlignment="1">
      <alignment horizontal="center"/>
    </xf>
    <xf numFmtId="164" fontId="6" fillId="0" borderId="0" xfId="0" applyNumberFormat="1" applyFont="1" applyAlignment="1"/>
    <xf numFmtId="0" fontId="6" fillId="0" borderId="1" xfId="0" applyFont="1" applyBorder="1" applyAlignment="1"/>
    <xf numFmtId="164" fontId="7" fillId="0" borderId="1" xfId="0" applyNumberFormat="1" applyFont="1" applyBorder="1" applyAlignment="1"/>
    <xf numFmtId="0" fontId="7" fillId="0" borderId="1" xfId="0" applyFont="1" applyBorder="1" applyAlignment="1"/>
    <xf numFmtId="0" fontId="9" fillId="4" borderId="0" xfId="0" applyFont="1" applyFill="1" applyAlignment="1"/>
    <xf numFmtId="0" fontId="10" fillId="0" borderId="0" xfId="0" applyFont="1" applyAlignment="1"/>
    <xf numFmtId="0" fontId="3" fillId="0" borderId="1" xfId="0" applyFont="1" applyBorder="1" applyAlignment="1"/>
    <xf numFmtId="3" fontId="7" fillId="5" borderId="1" xfId="0" applyNumberFormat="1" applyFont="1" applyFill="1" applyBorder="1" applyAlignment="1"/>
    <xf numFmtId="0" fontId="6" fillId="0" borderId="0" xfId="0" applyFont="1" applyAlignment="1">
      <alignment horizontal="left" vertical="top" wrapText="1"/>
    </xf>
    <xf numFmtId="0" fontId="6" fillId="0" borderId="0" xfId="0" applyFont="1" applyAlignment="1"/>
    <xf numFmtId="0" fontId="1" fillId="2" borderId="0" xfId="0" applyFont="1" applyFill="1" applyAlignment="1">
      <alignment horizontal="left" vertical="center"/>
    </xf>
    <xf numFmtId="0" fontId="2" fillId="0" borderId="0" xfId="0" applyFont="1" applyAlignment="1"/>
    <xf numFmtId="0" fontId="3" fillId="4" borderId="0" xfId="0" applyFont="1" applyFill="1" applyAlignment="1"/>
    <xf numFmtId="0" fontId="8" fillId="0" borderId="0" xfId="0" applyFont="1" applyAlignment="1"/>
    <xf numFmtId="0" fontId="6" fillId="0" borderId="1" xfId="0" applyFont="1" applyBorder="1" applyAlignment="1"/>
    <xf numFmtId="0" fontId="3" fillId="3" borderId="1" xfId="0" applyFont="1" applyFill="1" applyBorder="1" applyAlignment="1">
      <alignment horizontal="center" vertical="center" wrapText="1"/>
    </xf>
    <xf numFmtId="0" fontId="2" fillId="0" borderId="0" xfId="0" applyFont="1" applyAlignment="1">
      <alignment vertical="top" wrapText="1"/>
    </xf>
    <xf numFmtId="0" fontId="5" fillId="4"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FFFCC"/>
      <rgbColor rgb="00D9E1F2"/>
      <rgbColor rgb="00660066"/>
      <rgbColor rgb="00FF8080"/>
      <rgbColor rgb="000066CC"/>
      <rgbColor rgb="00BDD7EE"/>
      <rgbColor rgb="00000080"/>
      <rgbColor rgb="00FF00FF"/>
      <rgbColor rgb="00FFFF00"/>
      <rgbColor rgb="0000FFFF"/>
      <rgbColor rgb="00800080"/>
      <rgbColor rgb="00800000"/>
      <rgbColor rgb="00008080"/>
      <rgbColor rgb="000000FF"/>
      <rgbColor rgb="0000CCFF"/>
      <rgbColor rgb="00CCFFFF"/>
      <rgbColor rgb="00D9D9D9"/>
      <rgbColor rgb="00FFFF99"/>
      <rgbColor rgb="0099CCFF"/>
      <rgbColor rgb="00FF99CC"/>
      <rgbColor rgb="00CC99FF"/>
      <rgbColor rgb="00FFCC99"/>
      <rgbColor rgb="003366FF"/>
      <rgbColor rgb="0033CCCC"/>
      <rgbColor rgb="0099CC00"/>
      <rgbColor rgb="00FFCC00"/>
      <rgbColor rgb="00FF9900"/>
      <rgbColor rgb="00FF6600"/>
      <rgbColor rgb="00666699"/>
      <rgbColor rgb="00878787"/>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Dispersión: Personal Total vs Quejas</a:t>
            </a:r>
          </a:p>
        </c:rich>
      </c:tx>
      <c:overlay val="0"/>
      <c:spPr>
        <a:noFill/>
        <a:ln w="0">
          <a:noFill/>
        </a:ln>
      </c:spPr>
    </c:title>
    <c:autoTitleDeleted val="0"/>
    <c:plotArea>
      <c:layout/>
      <c:scatterChart>
        <c:scatterStyle val="lineMarker"/>
        <c:varyColors val="0"/>
        <c:ser>
          <c:idx val="0"/>
          <c:order val="0"/>
          <c:tx>
            <c:v>Quejas vs Personal total</c:v>
          </c:tx>
          <c:spPr>
            <a:ln w="47520">
              <a:noFill/>
            </a:ln>
          </c:spPr>
          <c:marker>
            <c:symbol val="circle"/>
            <c:size val="5"/>
            <c:spPr>
              <a:noFill/>
            </c:spPr>
          </c:marker>
          <c:dLbls>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 Ejercicio 1 – Regresión Lineal'!$C$4:$C$13</c:f>
              <c:numCache>
                <c:formatCode>General</c:formatCode>
                <c:ptCount val="10"/>
                <c:pt idx="0">
                  <c:v>12</c:v>
                </c:pt>
                <c:pt idx="1">
                  <c:v>14</c:v>
                </c:pt>
                <c:pt idx="2">
                  <c:v>16</c:v>
                </c:pt>
                <c:pt idx="3">
                  <c:v>11</c:v>
                </c:pt>
                <c:pt idx="4">
                  <c:v>12</c:v>
                </c:pt>
                <c:pt idx="5">
                  <c:v>16</c:v>
                </c:pt>
                <c:pt idx="6">
                  <c:v>16</c:v>
                </c:pt>
                <c:pt idx="7">
                  <c:v>8</c:v>
                </c:pt>
                <c:pt idx="8">
                  <c:v>16</c:v>
                </c:pt>
                <c:pt idx="9">
                  <c:v>18</c:v>
                </c:pt>
              </c:numCache>
            </c:numRef>
          </c:xVal>
          <c:yVal>
            <c:numRef>
              <c:f>' Ejercicio 1 – Regresión Lineal'!$B$4:$B$13</c:f>
              <c:numCache>
                <c:formatCode>General</c:formatCode>
                <c:ptCount val="10"/>
                <c:pt idx="0">
                  <c:v>75</c:v>
                </c:pt>
                <c:pt idx="1">
                  <c:v>241</c:v>
                </c:pt>
                <c:pt idx="2">
                  <c:v>310</c:v>
                </c:pt>
                <c:pt idx="3">
                  <c:v>50</c:v>
                </c:pt>
                <c:pt idx="4">
                  <c:v>250</c:v>
                </c:pt>
                <c:pt idx="5">
                  <c:v>250</c:v>
                </c:pt>
                <c:pt idx="6">
                  <c:v>259</c:v>
                </c:pt>
                <c:pt idx="7">
                  <c:v>302</c:v>
                </c:pt>
                <c:pt idx="8">
                  <c:v>247</c:v>
                </c:pt>
                <c:pt idx="9">
                  <c:v>180</c:v>
                </c:pt>
              </c:numCache>
            </c:numRef>
          </c:yVal>
          <c:smooth val="1"/>
          <c:extLst>
            <c:ext xmlns:c16="http://schemas.microsoft.com/office/drawing/2014/chart" uri="{C3380CC4-5D6E-409C-BE32-E72D297353CC}">
              <c16:uniqueId val="{00000001-5746-4021-88EE-41641FE7AC3C}"/>
            </c:ext>
          </c:extLst>
        </c:ser>
        <c:dLbls>
          <c:showLegendKey val="0"/>
          <c:showVal val="0"/>
          <c:showCatName val="0"/>
          <c:showSerName val="0"/>
          <c:showPercent val="0"/>
          <c:showBubbleSize val="0"/>
        </c:dLbls>
        <c:axId val="91732943"/>
        <c:axId val="33018035"/>
      </c:scatterChart>
      <c:valAx>
        <c:axId val="9173294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s-MX" sz="1000" b="1" strike="noStrike" spc="-1">
                    <a:solidFill>
                      <a:srgbClr val="000000"/>
                    </a:solidFill>
                    <a:latin typeface="Calibri"/>
                  </a:rPr>
                  <a:t>Personal total (x1)</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MX"/>
          </a:p>
        </c:txPr>
        <c:crossAx val="33018035"/>
        <c:crosses val="autoZero"/>
        <c:crossBetween val="midCat"/>
      </c:valAx>
      <c:valAx>
        <c:axId val="3301803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Quejas (y)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MX"/>
          </a:p>
        </c:txPr>
        <c:crossAx val="91732943"/>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Dispersión: Gastos vs Ventas</a:t>
            </a:r>
          </a:p>
        </c:rich>
      </c:tx>
      <c:overlay val="0"/>
      <c:spPr>
        <a:noFill/>
        <a:ln w="0">
          <a:noFill/>
        </a:ln>
      </c:spPr>
    </c:title>
    <c:autoTitleDeleted val="0"/>
    <c:plotArea>
      <c:layout/>
      <c:scatterChart>
        <c:scatterStyle val="lineMarker"/>
        <c:varyColors val="0"/>
        <c:ser>
          <c:idx val="0"/>
          <c:order val="0"/>
          <c:tx>
            <c:v>Ventas vs Gastos</c:v>
          </c:tx>
          <c:spPr>
            <a:ln w="47520">
              <a:noFill/>
            </a:ln>
          </c:spPr>
          <c:marker>
            <c:symbol val="circle"/>
            <c:size val="5"/>
            <c:spPr>
              <a:noFill/>
            </c:spPr>
          </c:marker>
          <c:dLbls>
            <c:spPr>
              <a:noFill/>
              <a:ln>
                <a:noFill/>
              </a:ln>
              <a:effectLst/>
            </c:spPr>
            <c:txPr>
              <a:bodyPr wrap="none"/>
              <a:lstStyle/>
              <a:p>
                <a:pPr>
                  <a:defRPr sz="1000" b="0" strike="noStrike" spc="-1">
                    <a:latin typeface="Arial"/>
                  </a:defRPr>
                </a:pPr>
                <a:endParaRPr lang="es-MX"/>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'Ejercicio 2 – Correlación y Reg'!$B$4:$B$15</c:f>
              <c:numCache>
                <c:formatCode>General</c:formatCode>
                <c:ptCount val="12"/>
                <c:pt idx="0">
                  <c:v>1200</c:v>
                </c:pt>
                <c:pt idx="1">
                  <c:v>1300</c:v>
                </c:pt>
                <c:pt idx="2">
                  <c:v>1450</c:v>
                </c:pt>
                <c:pt idx="3">
                  <c:v>1600</c:v>
                </c:pt>
                <c:pt idx="4">
                  <c:v>2000</c:v>
                </c:pt>
                <c:pt idx="5">
                  <c:v>2450</c:v>
                </c:pt>
                <c:pt idx="6">
                  <c:v>3100</c:v>
                </c:pt>
                <c:pt idx="7">
                  <c:v>1200</c:v>
                </c:pt>
                <c:pt idx="8">
                  <c:v>1900</c:v>
                </c:pt>
                <c:pt idx="9">
                  <c:v>2500</c:v>
                </c:pt>
                <c:pt idx="10">
                  <c:v>3000</c:v>
                </c:pt>
                <c:pt idx="11">
                  <c:v>4000</c:v>
                </c:pt>
              </c:numCache>
            </c:numRef>
          </c:xVal>
          <c:yVal>
            <c:numRef>
              <c:f>'Ejercicio 2 – Correlación y Reg'!$C$4:$C$15</c:f>
              <c:numCache>
                <c:formatCode>General</c:formatCode>
                <c:ptCount val="12"/>
                <c:pt idx="0">
                  <c:v>30000</c:v>
                </c:pt>
                <c:pt idx="1">
                  <c:v>40000</c:v>
                </c:pt>
                <c:pt idx="2">
                  <c:v>35000</c:v>
                </c:pt>
                <c:pt idx="3">
                  <c:v>35000</c:v>
                </c:pt>
                <c:pt idx="4">
                  <c:v>35000</c:v>
                </c:pt>
                <c:pt idx="5">
                  <c:v>50000</c:v>
                </c:pt>
                <c:pt idx="6">
                  <c:v>60000</c:v>
                </c:pt>
                <c:pt idx="7">
                  <c:v>65000</c:v>
                </c:pt>
                <c:pt idx="8">
                  <c:v>40000</c:v>
                </c:pt>
                <c:pt idx="9">
                  <c:v>45000</c:v>
                </c:pt>
                <c:pt idx="10">
                  <c:v>50000</c:v>
                </c:pt>
                <c:pt idx="11">
                  <c:v>50000</c:v>
                </c:pt>
              </c:numCache>
            </c:numRef>
          </c:yVal>
          <c:smooth val="1"/>
          <c:extLst>
            <c:ext xmlns:c16="http://schemas.microsoft.com/office/drawing/2014/chart" uri="{C3380CC4-5D6E-409C-BE32-E72D297353CC}">
              <c16:uniqueId val="{00000001-4351-4710-9047-DADD0B4A2FDB}"/>
            </c:ext>
          </c:extLst>
        </c:ser>
        <c:dLbls>
          <c:showLegendKey val="0"/>
          <c:showVal val="0"/>
          <c:showCatName val="0"/>
          <c:showSerName val="0"/>
          <c:showPercent val="0"/>
          <c:showBubbleSize val="0"/>
        </c:dLbls>
        <c:axId val="36067871"/>
        <c:axId val="51381859"/>
      </c:scatterChart>
      <c:valAx>
        <c:axId val="36067871"/>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s-MX" sz="1000" b="1" strike="noStrike" spc="-1">
                    <a:solidFill>
                      <a:srgbClr val="000000"/>
                    </a:solidFill>
                    <a:latin typeface="Calibri"/>
                  </a:rPr>
                  <a:t>Gastos (x)</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MX"/>
          </a:p>
        </c:txPr>
        <c:crossAx val="51381859"/>
        <c:crosses val="autoZero"/>
        <c:crossBetween val="midCat"/>
      </c:valAx>
      <c:valAx>
        <c:axId val="513818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Ventas (y)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MX"/>
          </a:p>
        </c:txPr>
        <c:crossAx val="36067871"/>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13</xdr:col>
      <xdr:colOff>492062</xdr:colOff>
      <xdr:row>17</xdr:row>
      <xdr:rowOff>164455</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0</xdr:rowOff>
    </xdr:from>
    <xdr:to>
      <xdr:col>16</xdr:col>
      <xdr:colOff>255872</xdr:colOff>
      <xdr:row>19</xdr:row>
      <xdr:rowOff>0</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zoomScale="79" zoomScaleNormal="129" workbookViewId="0">
      <selection activeCell="D9" sqref="D9"/>
    </sheetView>
  </sheetViews>
  <sheetFormatPr baseColWidth="10" defaultColWidth="8.88671875" defaultRowHeight="14.4" zeroHeight="1" x14ac:dyDescent="0.3"/>
  <cols>
    <col min="1" max="1" width="16" customWidth="1"/>
    <col min="2" max="2" width="16.5546875" customWidth="1"/>
    <col min="3" max="3" width="18" customWidth="1"/>
    <col min="4" max="4" width="20" customWidth="1"/>
    <col min="5" max="5" width="12" customWidth="1"/>
    <col min="6" max="6" width="14" customWidth="1"/>
  </cols>
  <sheetData>
    <row r="1" spans="1:4" ht="21.75" customHeight="1" x14ac:dyDescent="0.3">
      <c r="A1" s="14" t="s">
        <v>0</v>
      </c>
      <c r="B1" s="14"/>
      <c r="C1" s="14"/>
      <c r="D1" s="14"/>
    </row>
    <row r="2" spans="1:4" ht="27.75" customHeight="1" x14ac:dyDescent="0.3">
      <c r="A2" s="20" t="s">
        <v>1</v>
      </c>
      <c r="B2" s="20"/>
      <c r="C2" s="20"/>
      <c r="D2" s="20"/>
    </row>
    <row r="3" spans="1:4" ht="27.6" x14ac:dyDescent="0.3">
      <c r="A3" s="1" t="s">
        <v>2</v>
      </c>
      <c r="B3" s="1" t="s">
        <v>3</v>
      </c>
      <c r="C3" s="1" t="s">
        <v>4</v>
      </c>
      <c r="D3" s="1" t="s">
        <v>5</v>
      </c>
    </row>
    <row r="4" spans="1:4" x14ac:dyDescent="0.25">
      <c r="A4" s="2" t="s">
        <v>6</v>
      </c>
      <c r="B4" s="3">
        <v>75</v>
      </c>
      <c r="C4" s="3">
        <v>12</v>
      </c>
      <c r="D4" s="3">
        <v>8</v>
      </c>
    </row>
    <row r="5" spans="1:4" x14ac:dyDescent="0.25">
      <c r="A5" s="2" t="s">
        <v>7</v>
      </c>
      <c r="B5" s="3">
        <v>241</v>
      </c>
      <c r="C5" s="3">
        <v>14</v>
      </c>
      <c r="D5" s="3">
        <v>10</v>
      </c>
    </row>
    <row r="6" spans="1:4" x14ac:dyDescent="0.25">
      <c r="A6" s="2" t="s">
        <v>8</v>
      </c>
      <c r="B6" s="3">
        <v>310</v>
      </c>
      <c r="C6" s="3">
        <v>16</v>
      </c>
      <c r="D6" s="3">
        <v>9</v>
      </c>
    </row>
    <row r="7" spans="1:4" x14ac:dyDescent="0.25">
      <c r="A7" s="2" t="s">
        <v>9</v>
      </c>
      <c r="B7" s="3">
        <v>50</v>
      </c>
      <c r="C7" s="3">
        <v>11</v>
      </c>
      <c r="D7" s="3">
        <v>15</v>
      </c>
    </row>
    <row r="8" spans="1:4" x14ac:dyDescent="0.25">
      <c r="A8" s="2" t="s">
        <v>10</v>
      </c>
      <c r="B8" s="3">
        <v>250</v>
      </c>
      <c r="C8" s="3">
        <v>12</v>
      </c>
      <c r="D8" s="3">
        <v>20</v>
      </c>
    </row>
    <row r="9" spans="1:4" x14ac:dyDescent="0.25">
      <c r="A9" s="2" t="s">
        <v>11</v>
      </c>
      <c r="B9" s="3">
        <v>250</v>
      </c>
      <c r="C9" s="3">
        <v>16</v>
      </c>
      <c r="D9" s="3">
        <v>20</v>
      </c>
    </row>
    <row r="10" spans="1:4" x14ac:dyDescent="0.25">
      <c r="A10" s="2" t="s">
        <v>12</v>
      </c>
      <c r="B10" s="3">
        <v>259</v>
      </c>
      <c r="C10" s="3">
        <v>16</v>
      </c>
      <c r="D10" s="3">
        <v>5</v>
      </c>
    </row>
    <row r="11" spans="1:4" x14ac:dyDescent="0.25">
      <c r="A11" s="2" t="s">
        <v>13</v>
      </c>
      <c r="B11" s="3">
        <v>302</v>
      </c>
      <c r="C11" s="3">
        <v>8</v>
      </c>
      <c r="D11" s="3">
        <v>10</v>
      </c>
    </row>
    <row r="12" spans="1:4" x14ac:dyDescent="0.25">
      <c r="A12" s="2" t="s">
        <v>14</v>
      </c>
      <c r="B12" s="3">
        <v>247</v>
      </c>
      <c r="C12" s="3">
        <v>16</v>
      </c>
      <c r="D12" s="3">
        <v>15</v>
      </c>
    </row>
    <row r="13" spans="1:4" x14ac:dyDescent="0.25">
      <c r="A13" s="2" t="s">
        <v>15</v>
      </c>
      <c r="B13" s="3">
        <v>180</v>
      </c>
      <c r="C13" s="3">
        <v>18</v>
      </c>
      <c r="D13" s="3">
        <v>10</v>
      </c>
    </row>
    <row r="16" spans="1:4" ht="19.5" customHeight="1" x14ac:dyDescent="0.3">
      <c r="A16" s="21" t="s">
        <v>16</v>
      </c>
      <c r="B16" s="21"/>
      <c r="C16" s="21"/>
      <c r="D16" s="21"/>
    </row>
    <row r="18" spans="1:6" x14ac:dyDescent="0.25">
      <c r="A18" s="16" t="s">
        <v>17</v>
      </c>
      <c r="B18" s="16"/>
    </row>
    <row r="19" spans="1:6" x14ac:dyDescent="0.25">
      <c r="A19" s="13" t="s">
        <v>18</v>
      </c>
      <c r="B19" s="13"/>
      <c r="C19" s="4">
        <f>SQRT(F57)</f>
        <v>0.18639556941807048</v>
      </c>
    </row>
    <row r="20" spans="1:6" x14ac:dyDescent="0.25">
      <c r="A20" s="13" t="s">
        <v>19</v>
      </c>
      <c r="B20" s="13"/>
      <c r="C20" s="4">
        <f>F57</f>
        <v>3.4743308298686736E-2</v>
      </c>
    </row>
    <row r="21" spans="1:6" x14ac:dyDescent="0.25">
      <c r="A21" s="13" t="s">
        <v>20</v>
      </c>
      <c r="B21" s="13"/>
      <c r="C21" s="4">
        <f>1-(1-F57)*(COUNT(B4:B13)-1)/(COUNT(B4:B13)-2-1)</f>
        <v>-0.24104431790168834</v>
      </c>
    </row>
    <row r="22" spans="1:6" x14ac:dyDescent="0.25">
      <c r="A22" s="13" t="s">
        <v>21</v>
      </c>
      <c r="B22" s="13"/>
      <c r="C22" s="4">
        <f>G57</f>
        <v>98.744755211806094</v>
      </c>
    </row>
    <row r="23" spans="1:6" x14ac:dyDescent="0.25">
      <c r="A23" s="13" t="s">
        <v>22</v>
      </c>
      <c r="B23" s="13"/>
      <c r="C23" s="4">
        <f>COUNT(B4:B13)</f>
        <v>10</v>
      </c>
    </row>
    <row r="25" spans="1:6" x14ac:dyDescent="0.25">
      <c r="A25" s="16" t="s">
        <v>23</v>
      </c>
      <c r="B25" s="16"/>
      <c r="C25" s="16"/>
      <c r="D25" s="16"/>
      <c r="E25" s="16"/>
      <c r="F25" s="16"/>
    </row>
    <row r="26" spans="1:6" ht="27.6" x14ac:dyDescent="0.3">
      <c r="A26" s="1"/>
      <c r="B26" s="1" t="s">
        <v>24</v>
      </c>
      <c r="C26" s="1" t="s">
        <v>25</v>
      </c>
      <c r="D26" s="1" t="s">
        <v>26</v>
      </c>
      <c r="E26" s="1" t="s">
        <v>27</v>
      </c>
      <c r="F26" s="1" t="s">
        <v>28</v>
      </c>
    </row>
    <row r="27" spans="1:6" x14ac:dyDescent="0.3">
      <c r="A27" s="5" t="s">
        <v>29</v>
      </c>
      <c r="B27" s="6">
        <v>2</v>
      </c>
      <c r="C27" s="6">
        <f>F59</f>
        <v>2456.7132271234586</v>
      </c>
      <c r="D27" s="6">
        <f>C27/B27</f>
        <v>1228.3566135617293</v>
      </c>
      <c r="E27" s="6">
        <f>F58</f>
        <v>0.12597848851073459</v>
      </c>
      <c r="F27" s="6">
        <f>FDIST(E27,B27,B28)</f>
        <v>0.88358813161136074</v>
      </c>
    </row>
    <row r="28" spans="1:6" x14ac:dyDescent="0.3">
      <c r="A28" s="5" t="s">
        <v>30</v>
      </c>
      <c r="B28" s="6">
        <f>G58</f>
        <v>7</v>
      </c>
      <c r="C28" s="6">
        <f>G59</f>
        <v>68253.68677287655</v>
      </c>
      <c r="D28" s="6">
        <f>C28/B28</f>
        <v>9750.5266818395066</v>
      </c>
      <c r="E28" s="7"/>
      <c r="F28" s="7"/>
    </row>
    <row r="29" spans="1:6" x14ac:dyDescent="0.3">
      <c r="A29" s="5" t="s">
        <v>31</v>
      </c>
      <c r="B29" s="6">
        <f>B27+B28</f>
        <v>9</v>
      </c>
      <c r="C29" s="6">
        <f>C27+C28</f>
        <v>70710.400000000009</v>
      </c>
      <c r="D29" s="7"/>
      <c r="E29" s="7"/>
      <c r="F29" s="7"/>
    </row>
    <row r="31" spans="1:6" x14ac:dyDescent="0.25">
      <c r="A31" s="16" t="s">
        <v>32</v>
      </c>
      <c r="B31" s="16"/>
      <c r="C31" s="16"/>
      <c r="D31" s="16"/>
      <c r="E31" s="16"/>
    </row>
    <row r="32" spans="1:6" ht="27.6" x14ac:dyDescent="0.3">
      <c r="A32" s="19"/>
      <c r="B32" s="19"/>
      <c r="C32" s="1" t="s">
        <v>32</v>
      </c>
      <c r="D32" s="1" t="s">
        <v>21</v>
      </c>
      <c r="E32" s="1" t="s">
        <v>33</v>
      </c>
      <c r="F32" s="1" t="s">
        <v>34</v>
      </c>
    </row>
    <row r="33" spans="1:6" x14ac:dyDescent="0.3">
      <c r="A33" s="18" t="s">
        <v>35</v>
      </c>
      <c r="B33" s="18"/>
      <c r="C33" s="6">
        <f>H55</f>
        <v>140.02348282530627</v>
      </c>
      <c r="D33" s="6">
        <f>H56</f>
        <v>177.27941635622781</v>
      </c>
      <c r="E33" s="6">
        <f>C33/D33</f>
        <v>0.78984625346431125</v>
      </c>
      <c r="F33" s="6">
        <f>TDIST(ABS(E33),G58,2)</f>
        <v>0.45553579165497393</v>
      </c>
    </row>
    <row r="34" spans="1:6" x14ac:dyDescent="0.3">
      <c r="A34" s="18" t="s">
        <v>4</v>
      </c>
      <c r="B34" s="18"/>
      <c r="C34" s="6">
        <f>G55</f>
        <v>5.3907971882002599</v>
      </c>
      <c r="D34" s="6">
        <f>G56</f>
        <v>10.748606055192688</v>
      </c>
      <c r="E34" s="6">
        <f>C34/D34</f>
        <v>0.5015345395039339</v>
      </c>
      <c r="F34" s="6">
        <f>TDIST(ABS(E34),G58,2)</f>
        <v>0.63138073891156821</v>
      </c>
    </row>
    <row r="35" spans="1:6" x14ac:dyDescent="0.3">
      <c r="A35" s="18" t="s">
        <v>5</v>
      </c>
      <c r="B35" s="18"/>
      <c r="C35" s="6">
        <f>F55</f>
        <v>0.11839641464837032</v>
      </c>
      <c r="D35" s="6">
        <f>F56</f>
        <v>6.5078377011849291</v>
      </c>
      <c r="E35" s="6">
        <f>C35/D35</f>
        <v>1.8192896025482172E-2</v>
      </c>
      <c r="F35" s="6">
        <f>TDIST(ABS(E35),G58,2)</f>
        <v>0.98599266420137965</v>
      </c>
    </row>
    <row r="37" spans="1:6" x14ac:dyDescent="0.25">
      <c r="A37" s="17" t="s">
        <v>36</v>
      </c>
      <c r="B37" s="17"/>
      <c r="C37" s="15" t="str">
        <f>"Quejas = "&amp;ROUND(C33,2)&amp;" + "&amp;ROUND(C34,2)&amp;"·(Personal total) + "&amp;ROUND(C35,2)&amp;"·(Asesores activos)"</f>
        <v>Quejas = 140.02 + 5.39·(Personal total) + 0.12·(Asesores activos)</v>
      </c>
      <c r="D37" s="15"/>
      <c r="E37" s="15"/>
      <c r="F37" s="15"/>
    </row>
    <row r="39" spans="1:6" x14ac:dyDescent="0.25">
      <c r="A39" s="16" t="s">
        <v>37</v>
      </c>
      <c r="B39" s="16"/>
      <c r="C39" s="16"/>
      <c r="D39" s="16"/>
      <c r="E39" s="16"/>
      <c r="F39" s="16"/>
    </row>
    <row r="40" spans="1:6" ht="15" customHeight="1" x14ac:dyDescent="0.3">
      <c r="A40" s="12" t="s">
        <v>57</v>
      </c>
      <c r="B40" s="12"/>
      <c r="C40" s="12"/>
      <c r="D40" s="12"/>
      <c r="E40" s="12"/>
      <c r="F40" s="12"/>
    </row>
    <row r="41" spans="1:6" x14ac:dyDescent="0.3">
      <c r="A41" s="12"/>
      <c r="B41" s="12"/>
      <c r="C41" s="12"/>
      <c r="D41" s="12"/>
      <c r="E41" s="12"/>
      <c r="F41" s="12"/>
    </row>
    <row r="42" spans="1:6" x14ac:dyDescent="0.3">
      <c r="A42" s="12"/>
      <c r="B42" s="12"/>
      <c r="C42" s="12"/>
      <c r="D42" s="12"/>
      <c r="E42" s="12"/>
      <c r="F42" s="12"/>
    </row>
    <row r="43" spans="1:6" x14ac:dyDescent="0.3">
      <c r="A43" s="12"/>
      <c r="B43" s="12"/>
      <c r="C43" s="12"/>
      <c r="D43" s="12"/>
      <c r="E43" s="12"/>
      <c r="F43" s="12"/>
    </row>
    <row r="44" spans="1:6" x14ac:dyDescent="0.3">
      <c r="A44" s="12"/>
      <c r="B44" s="12"/>
      <c r="C44" s="12"/>
      <c r="D44" s="12"/>
      <c r="E44" s="12"/>
      <c r="F44" s="12"/>
    </row>
    <row r="45" spans="1:6" ht="45" customHeight="1" x14ac:dyDescent="0.3">
      <c r="A45" s="12"/>
      <c r="B45" s="12"/>
      <c r="C45" s="12"/>
      <c r="D45" s="12"/>
      <c r="E45" s="12"/>
      <c r="F45" s="12"/>
    </row>
    <row r="53" spans="6:8" ht="0.6" customHeight="1" x14ac:dyDescent="0.3"/>
    <row r="54" spans="6:8" x14ac:dyDescent="0.2">
      <c r="F54" s="8" t="s">
        <v>56</v>
      </c>
    </row>
    <row r="55" spans="6:8" x14ac:dyDescent="0.2">
      <c r="F55" s="9">
        <f t="array" ref="F55:H59">LINEST(B4:B13,C4:D13,TRUE(),TRUE())</f>
        <v>0.11839641464837032</v>
      </c>
      <c r="G55" s="9">
        <v>5.3907971882002599</v>
      </c>
      <c r="H55" s="9">
        <v>140.02348282530627</v>
      </c>
    </row>
    <row r="56" spans="6:8" x14ac:dyDescent="0.2">
      <c r="F56" s="9">
        <v>6.5078377011849291</v>
      </c>
      <c r="G56" s="9">
        <v>10.748606055192688</v>
      </c>
      <c r="H56" s="9">
        <v>177.27941635622781</v>
      </c>
    </row>
    <row r="57" spans="6:8" x14ac:dyDescent="0.2">
      <c r="F57" s="9">
        <v>3.4743308298686736E-2</v>
      </c>
      <c r="G57" s="9">
        <v>98.744755211806094</v>
      </c>
      <c r="H57" s="9" t="e">
        <v>#N/A</v>
      </c>
    </row>
    <row r="58" spans="6:8" x14ac:dyDescent="0.2">
      <c r="F58" s="9">
        <v>0.12597848851073459</v>
      </c>
      <c r="G58" s="9">
        <v>7</v>
      </c>
      <c r="H58" s="9" t="e">
        <v>#N/A</v>
      </c>
    </row>
    <row r="59" spans="6:8" x14ac:dyDescent="0.2">
      <c r="F59" s="9">
        <v>2456.7132271234586</v>
      </c>
      <c r="G59" s="9">
        <v>68253.68677287655</v>
      </c>
      <c r="H59" s="9" t="e">
        <v>#N/A</v>
      </c>
    </row>
  </sheetData>
  <mergeCells count="19">
    <mergeCell ref="A1:D1"/>
    <mergeCell ref="A2:D2"/>
    <mergeCell ref="A16:D16"/>
    <mergeCell ref="A18:B18"/>
    <mergeCell ref="A25:F25"/>
    <mergeCell ref="A39:F39"/>
    <mergeCell ref="A40:F45"/>
    <mergeCell ref="A19:B19"/>
    <mergeCell ref="A33:B33"/>
    <mergeCell ref="A34:B34"/>
    <mergeCell ref="A21:B21"/>
    <mergeCell ref="A22:B22"/>
    <mergeCell ref="A23:B23"/>
    <mergeCell ref="A37:B37"/>
    <mergeCell ref="A32:B32"/>
    <mergeCell ref="A31:E31"/>
    <mergeCell ref="A20:B20"/>
    <mergeCell ref="A35:B35"/>
    <mergeCell ref="C37:F37"/>
  </mergeCells>
  <pageMargins left="0.75" right="0.75" top="1" bottom="1" header="0.511811023622047" footer="0.511811023622047"/>
  <pageSetup paperSize="9"/>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tabSelected="1" workbookViewId="0">
      <selection sqref="A1:F1"/>
    </sheetView>
  </sheetViews>
  <sheetFormatPr baseColWidth="10" defaultColWidth="8.88671875" defaultRowHeight="14.4" zeroHeight="1" x14ac:dyDescent="0.3"/>
  <cols>
    <col min="1" max="1" width="36" customWidth="1"/>
    <col min="2" max="6" width="14" customWidth="1"/>
  </cols>
  <sheetData>
    <row r="1" spans="1:6" ht="21.75" customHeight="1" x14ac:dyDescent="0.3">
      <c r="A1" s="14" t="s">
        <v>38</v>
      </c>
      <c r="B1" s="14"/>
      <c r="C1" s="14"/>
      <c r="D1" s="14"/>
      <c r="E1" s="14"/>
      <c r="F1" s="14"/>
    </row>
    <row r="2" spans="1:6" ht="15.75" customHeight="1" x14ac:dyDescent="0.25">
      <c r="A2" s="15" t="s">
        <v>39</v>
      </c>
      <c r="B2" s="15"/>
      <c r="C2" s="15"/>
      <c r="D2" s="15"/>
      <c r="E2" s="15"/>
      <c r="F2" s="15"/>
    </row>
    <row r="3" spans="1:6" x14ac:dyDescent="0.3">
      <c r="A3" s="1" t="s">
        <v>40</v>
      </c>
      <c r="B3" s="1" t="s">
        <v>41</v>
      </c>
      <c r="C3" s="1" t="s">
        <v>42</v>
      </c>
      <c r="D3" s="1" t="s">
        <v>43</v>
      </c>
      <c r="E3" s="1" t="s">
        <v>44</v>
      </c>
      <c r="F3" s="1" t="s">
        <v>45</v>
      </c>
    </row>
    <row r="4" spans="1:6" x14ac:dyDescent="0.25">
      <c r="A4" s="3">
        <v>1</v>
      </c>
      <c r="B4" s="3">
        <v>1200</v>
      </c>
      <c r="C4" s="3">
        <v>30000</v>
      </c>
      <c r="D4" s="3">
        <f t="shared" ref="D4:D15" si="0">B4^2</f>
        <v>1440000</v>
      </c>
      <c r="E4" s="3">
        <f t="shared" ref="E4:E15" si="1">C4^2</f>
        <v>900000000</v>
      </c>
      <c r="F4" s="3">
        <f t="shared" ref="F4:F15" si="2">B4*C4</f>
        <v>36000000</v>
      </c>
    </row>
    <row r="5" spans="1:6" x14ac:dyDescent="0.25">
      <c r="A5" s="3">
        <v>2</v>
      </c>
      <c r="B5" s="3">
        <v>1300</v>
      </c>
      <c r="C5" s="3">
        <v>40000</v>
      </c>
      <c r="D5" s="3">
        <f t="shared" si="0"/>
        <v>1690000</v>
      </c>
      <c r="E5" s="3">
        <f t="shared" si="1"/>
        <v>1600000000</v>
      </c>
      <c r="F5" s="3">
        <f t="shared" si="2"/>
        <v>52000000</v>
      </c>
    </row>
    <row r="6" spans="1:6" x14ac:dyDescent="0.25">
      <c r="A6" s="3">
        <v>3</v>
      </c>
      <c r="B6" s="3">
        <v>1450</v>
      </c>
      <c r="C6" s="3">
        <v>35000</v>
      </c>
      <c r="D6" s="3">
        <f t="shared" si="0"/>
        <v>2102500</v>
      </c>
      <c r="E6" s="3">
        <f t="shared" si="1"/>
        <v>1225000000</v>
      </c>
      <c r="F6" s="3">
        <f t="shared" si="2"/>
        <v>50750000</v>
      </c>
    </row>
    <row r="7" spans="1:6" x14ac:dyDescent="0.25">
      <c r="A7" s="3">
        <v>4</v>
      </c>
      <c r="B7" s="3">
        <v>1600</v>
      </c>
      <c r="C7" s="3">
        <v>35000</v>
      </c>
      <c r="D7" s="3">
        <f t="shared" si="0"/>
        <v>2560000</v>
      </c>
      <c r="E7" s="3">
        <f t="shared" si="1"/>
        <v>1225000000</v>
      </c>
      <c r="F7" s="3">
        <f t="shared" si="2"/>
        <v>56000000</v>
      </c>
    </row>
    <row r="8" spans="1:6" x14ac:dyDescent="0.25">
      <c r="A8" s="3">
        <v>5</v>
      </c>
      <c r="B8" s="3">
        <v>2000</v>
      </c>
      <c r="C8" s="3">
        <v>35000</v>
      </c>
      <c r="D8" s="3">
        <f t="shared" si="0"/>
        <v>4000000</v>
      </c>
      <c r="E8" s="3">
        <f t="shared" si="1"/>
        <v>1225000000</v>
      </c>
      <c r="F8" s="3">
        <f t="shared" si="2"/>
        <v>70000000</v>
      </c>
    </row>
    <row r="9" spans="1:6" x14ac:dyDescent="0.25">
      <c r="A9" s="3">
        <v>6</v>
      </c>
      <c r="B9" s="3">
        <v>2450</v>
      </c>
      <c r="C9" s="3">
        <v>50000</v>
      </c>
      <c r="D9" s="3">
        <f t="shared" si="0"/>
        <v>6002500</v>
      </c>
      <c r="E9" s="3">
        <f t="shared" si="1"/>
        <v>2500000000</v>
      </c>
      <c r="F9" s="3">
        <f t="shared" si="2"/>
        <v>122500000</v>
      </c>
    </row>
    <row r="10" spans="1:6" x14ac:dyDescent="0.25">
      <c r="A10" s="3">
        <v>7</v>
      </c>
      <c r="B10" s="3">
        <v>3100</v>
      </c>
      <c r="C10" s="3">
        <v>60000</v>
      </c>
      <c r="D10" s="3">
        <f t="shared" si="0"/>
        <v>9610000</v>
      </c>
      <c r="E10" s="3">
        <f t="shared" si="1"/>
        <v>3600000000</v>
      </c>
      <c r="F10" s="3">
        <f t="shared" si="2"/>
        <v>186000000</v>
      </c>
    </row>
    <row r="11" spans="1:6" x14ac:dyDescent="0.25">
      <c r="A11" s="3">
        <v>8</v>
      </c>
      <c r="B11" s="3">
        <v>1200</v>
      </c>
      <c r="C11" s="3">
        <v>65000</v>
      </c>
      <c r="D11" s="3">
        <f t="shared" si="0"/>
        <v>1440000</v>
      </c>
      <c r="E11" s="3">
        <f t="shared" si="1"/>
        <v>4225000000</v>
      </c>
      <c r="F11" s="3">
        <f t="shared" si="2"/>
        <v>78000000</v>
      </c>
    </row>
    <row r="12" spans="1:6" x14ac:dyDescent="0.25">
      <c r="A12" s="3">
        <v>9</v>
      </c>
      <c r="B12" s="3">
        <v>1900</v>
      </c>
      <c r="C12" s="3">
        <v>40000</v>
      </c>
      <c r="D12" s="3">
        <f t="shared" si="0"/>
        <v>3610000</v>
      </c>
      <c r="E12" s="3">
        <f t="shared" si="1"/>
        <v>1600000000</v>
      </c>
      <c r="F12" s="3">
        <f t="shared" si="2"/>
        <v>76000000</v>
      </c>
    </row>
    <row r="13" spans="1:6" x14ac:dyDescent="0.25">
      <c r="A13" s="3">
        <v>10</v>
      </c>
      <c r="B13" s="3">
        <v>2500</v>
      </c>
      <c r="C13" s="3">
        <v>45000</v>
      </c>
      <c r="D13" s="3">
        <f t="shared" si="0"/>
        <v>6250000</v>
      </c>
      <c r="E13" s="3">
        <f t="shared" si="1"/>
        <v>2025000000</v>
      </c>
      <c r="F13" s="3">
        <f t="shared" si="2"/>
        <v>112500000</v>
      </c>
    </row>
    <row r="14" spans="1:6" x14ac:dyDescent="0.25">
      <c r="A14" s="3">
        <v>11</v>
      </c>
      <c r="B14" s="3">
        <v>3000</v>
      </c>
      <c r="C14" s="3">
        <v>50000</v>
      </c>
      <c r="D14" s="3">
        <f t="shared" si="0"/>
        <v>9000000</v>
      </c>
      <c r="E14" s="3">
        <f t="shared" si="1"/>
        <v>2500000000</v>
      </c>
      <c r="F14" s="3">
        <f t="shared" si="2"/>
        <v>150000000</v>
      </c>
    </row>
    <row r="15" spans="1:6" x14ac:dyDescent="0.25">
      <c r="A15" s="3">
        <v>12</v>
      </c>
      <c r="B15" s="3">
        <v>4000</v>
      </c>
      <c r="C15" s="3">
        <v>50000</v>
      </c>
      <c r="D15" s="3">
        <f t="shared" si="0"/>
        <v>16000000</v>
      </c>
      <c r="E15" s="3">
        <f t="shared" si="1"/>
        <v>2500000000</v>
      </c>
      <c r="F15" s="3">
        <f t="shared" si="2"/>
        <v>200000000</v>
      </c>
    </row>
    <row r="16" spans="1:6" x14ac:dyDescent="0.3">
      <c r="A16" s="10" t="s">
        <v>46</v>
      </c>
      <c r="B16" s="11">
        <f>SUM(B4:B15)</f>
        <v>25700</v>
      </c>
      <c r="C16" s="11">
        <f>SUM(C4:C15)</f>
        <v>535000</v>
      </c>
      <c r="D16" s="11">
        <f>SUM(D4:D15)</f>
        <v>63705000</v>
      </c>
      <c r="E16" s="11">
        <f>SUM(E4:E15)</f>
        <v>25125000000</v>
      </c>
      <c r="F16" s="11">
        <f>SUM(F4:F15)</f>
        <v>1189750000</v>
      </c>
    </row>
    <row r="17" spans="1:6" x14ac:dyDescent="0.3">
      <c r="A17" s="10" t="s">
        <v>47</v>
      </c>
      <c r="B17" s="7">
        <f>COUNT(B4:B15)</f>
        <v>12</v>
      </c>
      <c r="C17" s="7"/>
      <c r="D17" s="7"/>
      <c r="E17" s="7"/>
      <c r="F17" s="7"/>
    </row>
    <row r="19" spans="1:6" x14ac:dyDescent="0.25">
      <c r="A19" s="16" t="s">
        <v>48</v>
      </c>
      <c r="B19" s="16"/>
      <c r="C19" s="16"/>
      <c r="D19" s="16"/>
    </row>
    <row r="20" spans="1:6" x14ac:dyDescent="0.25">
      <c r="A20" s="13" t="s">
        <v>49</v>
      </c>
      <c r="B20" s="13"/>
      <c r="C20" s="4">
        <f>CORREL(B4:B15,C4:C15)</f>
        <v>0.41857938207411255</v>
      </c>
    </row>
    <row r="21" spans="1:6" x14ac:dyDescent="0.25">
      <c r="A21" s="13" t="s">
        <v>50</v>
      </c>
      <c r="B21" s="13"/>
      <c r="C21" s="4">
        <f>RSQ(C4:C15,B4:B15)</f>
        <v>0.17520869909754594</v>
      </c>
    </row>
    <row r="22" spans="1:6" x14ac:dyDescent="0.25">
      <c r="A22" s="13" t="s">
        <v>51</v>
      </c>
      <c r="B22" s="13"/>
      <c r="C22" s="4">
        <f>SLOPE(C4:C15,B4:B15)</f>
        <v>5.0735789169952872</v>
      </c>
    </row>
    <row r="23" spans="1:6" x14ac:dyDescent="0.25">
      <c r="A23" s="13" t="s">
        <v>52</v>
      </c>
      <c r="B23" s="13"/>
      <c r="C23" s="4">
        <f>INTERCEPT(C4:C15,B4:B15)</f>
        <v>33717.418486101764</v>
      </c>
    </row>
    <row r="25" spans="1:6" x14ac:dyDescent="0.25">
      <c r="A25" s="17" t="s">
        <v>53</v>
      </c>
      <c r="B25" s="17"/>
      <c r="C25" s="15" t="str">
        <f>"Ventas = "&amp;ROUND(C22,4)&amp;"*Gastos + "&amp;ROUND(C23,2)</f>
        <v>Ventas = 5.0736*Gastos + 33717.42</v>
      </c>
      <c r="D25" s="15"/>
      <c r="E25" s="15"/>
    </row>
    <row r="27" spans="1:6" x14ac:dyDescent="0.25">
      <c r="A27" s="16" t="s">
        <v>54</v>
      </c>
      <c r="B27" s="16"/>
      <c r="C27" s="16"/>
      <c r="D27" s="16"/>
      <c r="E27" s="16"/>
      <c r="F27" s="16"/>
    </row>
    <row r="28" spans="1:6" ht="15" customHeight="1" x14ac:dyDescent="0.3">
      <c r="A28" s="12" t="s">
        <v>55</v>
      </c>
      <c r="B28" s="12"/>
      <c r="C28" s="12"/>
      <c r="D28" s="12"/>
      <c r="E28" s="12"/>
      <c r="F28" s="12"/>
    </row>
    <row r="29" spans="1:6" x14ac:dyDescent="0.3">
      <c r="A29" s="12"/>
      <c r="B29" s="12"/>
      <c r="C29" s="12"/>
      <c r="D29" s="12"/>
      <c r="E29" s="12"/>
      <c r="F29" s="12"/>
    </row>
    <row r="30" spans="1:6" x14ac:dyDescent="0.3">
      <c r="A30" s="12"/>
      <c r="B30" s="12"/>
      <c r="C30" s="12"/>
      <c r="D30" s="12"/>
      <c r="E30" s="12"/>
      <c r="F30" s="12"/>
    </row>
    <row r="31" spans="1:6" x14ac:dyDescent="0.3">
      <c r="A31" s="12"/>
      <c r="B31" s="12"/>
      <c r="C31" s="12"/>
      <c r="D31" s="12"/>
      <c r="E31" s="12"/>
      <c r="F31" s="12"/>
    </row>
    <row r="32" spans="1:6" x14ac:dyDescent="0.3">
      <c r="A32" s="12"/>
      <c r="B32" s="12"/>
      <c r="C32" s="12"/>
      <c r="D32" s="12"/>
      <c r="E32" s="12"/>
      <c r="F32" s="12"/>
    </row>
    <row r="33" spans="1:6" x14ac:dyDescent="0.3">
      <c r="A33" s="12"/>
      <c r="B33" s="12"/>
      <c r="C33" s="12"/>
      <c r="D33" s="12"/>
      <c r="E33" s="12"/>
      <c r="F33" s="12"/>
    </row>
    <row r="34" spans="1:6" ht="69" customHeight="1" x14ac:dyDescent="0.3">
      <c r="A34" s="12"/>
      <c r="B34" s="12"/>
      <c r="C34" s="12"/>
      <c r="D34" s="12"/>
      <c r="E34" s="12"/>
      <c r="F34" s="12"/>
    </row>
  </sheetData>
  <mergeCells count="11">
    <mergeCell ref="A28:F34"/>
    <mergeCell ref="A20:B20"/>
    <mergeCell ref="A1:F1"/>
    <mergeCell ref="A2:F2"/>
    <mergeCell ref="A19:D19"/>
    <mergeCell ref="A27:F27"/>
    <mergeCell ref="C25:E25"/>
    <mergeCell ref="A25:B25"/>
    <mergeCell ref="A23:B23"/>
    <mergeCell ref="A22:B22"/>
    <mergeCell ref="A21:B21"/>
  </mergeCells>
  <pageMargins left="0.75" right="0.75" top="1" bottom="1" header="0.511811023622047" footer="0.511811023622047"/>
  <pageSetup paperSize="9"/>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 Ejercicio 1 – Regresión Lineal</vt:lpstr>
      <vt:lpstr>Ejercicio 2 – Correlación y Reg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ismael vidaca gonzález</cp:lastModifiedBy>
  <dcterms:created xsi:type="dcterms:W3CDTF">2026-09-27T09:51:13Z</dcterms:created>
  <dcterms:modified xsi:type="dcterms:W3CDTF">2026-09-27T03:46:59Z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20a659cc600c4b15a1c0b5a1a028db1d_23</vt:lpwstr>
  </property>
</Properties>
</file>